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DCF Model" sheetId="2" r:id="rId6"/>
    <sheet state="visible" name="Summary &amp; Results" sheetId="3" r:id="rId7"/>
    <sheet state="visible" name="Scenario Comparison" sheetId="4" r:id="rId8"/>
  </sheets>
  <definedNames/>
  <calcPr/>
</workbook>
</file>

<file path=xl/sharedStrings.xml><?xml version="1.0" encoding="utf-8"?>
<sst xmlns="http://schemas.openxmlformats.org/spreadsheetml/2006/main" count="142" uniqueCount="127">
  <si>
    <t>FACTORY INVESTMENT DECISION MODEL — ASSUMPTIONS</t>
  </si>
  <si>
    <t>Color Legend:</t>
  </si>
  <si>
    <t>Blue = Input (editable)</t>
  </si>
  <si>
    <t>Black = Formula</t>
  </si>
  <si>
    <t>A. INVESTMENT DETAILS</t>
  </si>
  <si>
    <t>Equipment Purchase Price ($)</t>
  </si>
  <si>
    <t>Installation &amp; Commissioning ($)</t>
  </si>
  <si>
    <t>Training &amp; Ramp-Up Cost ($)</t>
  </si>
  <si>
    <t>Salvage Value at End of Life ($)</t>
  </si>
  <si>
    <t>Asset Useful Life (Years)</t>
  </si>
  <si>
    <t>Depreciation Method</t>
  </si>
  <si>
    <t>Straight-Line</t>
  </si>
  <si>
    <t>B. OPERATIONAL ASSUMPTIONS</t>
  </si>
  <si>
    <t>Annual Production Capacity (units)</t>
  </si>
  <si>
    <t>Target OEE (%)</t>
  </si>
  <si>
    <t>Effective Annual Output (units)</t>
  </si>
  <si>
    <t>Selling Price per Unit ($)</t>
  </si>
  <si>
    <t>Variable Cost per Unit ($)</t>
  </si>
  <si>
    <t>Annual Fixed Operating Costs ($)</t>
  </si>
  <si>
    <t>Annual Maintenance Cost ($)</t>
  </si>
  <si>
    <t>Annual Revenue Growth Rate (%)</t>
  </si>
  <si>
    <t>Annual Cost Inflation Rate (%)</t>
  </si>
  <si>
    <t>C. FINANCING &amp; DISCOUNT RATE</t>
  </si>
  <si>
    <t>Equity Financing (%)</t>
  </si>
  <si>
    <t>Debt Financing (%)</t>
  </si>
  <si>
    <t>Cost of Debt (Pre-Tax) (%)</t>
  </si>
  <si>
    <t>Tax Rate (%)</t>
  </si>
  <si>
    <t>Cost of Equity / WACC (%)</t>
  </si>
  <si>
    <t>D. SCENARIO SELECTOR</t>
  </si>
  <si>
    <t>Active Scenario</t>
  </si>
  <si>
    <t>Base Case</t>
  </si>
  <si>
    <t>Options: "Base Case" | "Bull Case" | "Bear Case"</t>
  </si>
  <si>
    <t>E. SCENARIO ADJUSTMENTS (vs Base Case)</t>
  </si>
  <si>
    <t>Parameter</t>
  </si>
  <si>
    <t>Bull Case</t>
  </si>
  <si>
    <t>Bear Case</t>
  </si>
  <si>
    <t>OEE Adjustment</t>
  </si>
  <si>
    <t>+5%</t>
  </si>
  <si>
    <t>-10%</t>
  </si>
  <si>
    <t>Price per Unit Adjustment</t>
  </si>
  <si>
    <t>+$10</t>
  </si>
  <si>
    <t>-$15</t>
  </si>
  <si>
    <t>Revenue Growth Adjustment</t>
  </si>
  <si>
    <t>+2%</t>
  </si>
  <si>
    <t>-2%</t>
  </si>
  <si>
    <t>FACTORY INVESTMENT DECISION MODEL — 10-YEAR DCF</t>
  </si>
  <si>
    <t>($)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</si>
  <si>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</si>
  <si>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</si>
  <si>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</si>
  <si>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</si>
  <si>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</si>
  <si>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</si>
  <si>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</si>
  <si>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</si>
  <si>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</si>
  <si>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</si>
  <si>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Total</t>
  </si>
  <si>
    <t>REVENUE</t>
  </si>
  <si>
    <t>Effective Output (units)</t>
  </si>
  <si>
    <t>Price per Unit ($)</t>
  </si>
  <si>
    <t>Gross Revenue ($)</t>
  </si>
  <si>
    <t>OPERATING COSTS</t>
  </si>
  <si>
    <t>Variable Costs ($)</t>
  </si>
  <si>
    <t>Fixed Operating Costs ($)</t>
  </si>
  <si>
    <t>Maintenance Costs ($)</t>
  </si>
  <si>
    <t>Depreciation ($)</t>
  </si>
  <si>
    <t>Total Operating Costs ($)</t>
  </si>
  <si>
    <t>PROFITABILITY</t>
  </si>
  <si>
    <t>EBIT ($)</t>
  </si>
  <si>
    <t>Taxes ($)</t>
  </si>
  <si>
    <t>NOPAT ($)</t>
  </si>
  <si>
    <t>Add Back: Depreciation ($)</t>
  </si>
  <si>
    <t>Operating Cash Flow ($)</t>
  </si>
  <si>
    <t>CAPITAL &amp; FREE CASH FLOW</t>
  </si>
  <si>
    <t>Initial Investment ($)</t>
  </si>
  <si>
    <t>Salvage Value ($)</t>
  </si>
  <si>
    <t>Free Cash Flow ($)</t>
  </si>
  <si>
    <t>DCF VALUATION</t>
  </si>
  <si>
    <t>Discount Factor</t>
  </si>
  <si>
    <t>Present Value of FCF ($)</t>
  </si>
  <si>
    <t>FACTORY INVESTMENT DECISION MODEL — SUMMARY &amp; RESULTS</t>
  </si>
  <si>
    <t>KEY INVESTMENT METRICS</t>
  </si>
  <si>
    <t>Metric</t>
  </si>
  <si>
    <t>Value</t>
  </si>
  <si>
    <t>Threshold / Benchmark</t>
  </si>
  <si>
    <t>Decision Signal</t>
  </si>
  <si>
    <t>Total Initial Investment ($)</t>
  </si>
  <si>
    <t>—</t>
  </si>
  <si>
    <t>Total Revenue (10 Years) ($)</t>
  </si>
  <si>
    <t>Total Operating Cash Flow ($)</t>
  </si>
  <si>
    <t>Net Present Value (NPV) ($)</t>
  </si>
  <si>
    <t>&gt; $0</t>
  </si>
  <si>
    <t>Internal Rate of Return (IRR) (%)</t>
  </si>
  <si>
    <t>&gt; WACC (10.0%)</t>
  </si>
  <si>
    <t>Payback Period (Years)</t>
  </si>
  <si>
    <t>&lt; 5 Years</t>
  </si>
  <si>
    <t>EBITDA Margin Year 1 (%)</t>
  </si>
  <si>
    <t>&gt; 20%</t>
  </si>
  <si>
    <t>Return on Investment (%)</t>
  </si>
  <si>
    <t>&gt; 100%</t>
  </si>
  <si>
    <t>SENSITIVITY ANALYSIS — NPV ($) vs OEE &amp; Price per Unit</t>
  </si>
  <si>
    <t>OEE \ Price/Unit</t>
  </si>
  <si>
    <t>$90</t>
  </si>
  <si>
    <t>$105</t>
  </si>
  <si>
    <t>$120</t>
  </si>
  <si>
    <t>$135</t>
  </si>
  <si>
    <t>65% OEE</t>
  </si>
  <si>
    <t>72% OEE</t>
  </si>
  <si>
    <t>80% OEE</t>
  </si>
  <si>
    <t>88% OEE</t>
  </si>
  <si>
    <t>95% OEE</t>
  </si>
  <si>
    <t>INVESTMENT RECOMMENDATION</t>
  </si>
  <si>
    <t>Decision:</t>
  </si>
  <si>
    <t>NPV Status:</t>
  </si>
  <si>
    <t>FACTORY INVESTMENT DECISION MODEL — SCENARIO COMPARISON</t>
  </si>
  <si>
    <t>SCENARIO ASSUMPTIONS</t>
  </si>
  <si>
    <t>OEE (%)</t>
  </si>
  <si>
    <t>Revenue Growth Rate (%)</t>
  </si>
  <si>
    <t>WACC (%)</t>
  </si>
  <si>
    <t>SCENARIO RESULTS</t>
  </si>
  <si>
    <t>NPV ($)</t>
  </si>
  <si>
    <t>Approx. IRR (%)</t>
  </si>
  <si>
    <t>Year 1 Revenue ($)</t>
  </si>
  <si>
    <t>Year 1 EBITDA ($)</t>
  </si>
  <si>
    <t>Year 1 EBITDA Margin (%)</t>
  </si>
  <si>
    <t>Recommendation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</si>
</sst>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$#,##0;&quot;($&quot;#,##0\);\-"/>
    <numFmt numFmtId="165" formatCode="0.0%;\(0.0%\);\-"/>
    <numFmt numFmtId="166" formatCode="0.0000"/>
    <numFmt numFmtId="167" formatCode="0.0"/>
  </numFmts>
  <fonts count="18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9.0"/>
      <color theme="1"/>
      <name val="Arial"/>
    </font>
    <font>
      <sz val="9.0"/>
      <color rgb="FF0000FF"/>
      <name val="Arial"/>
    </font>
    <font>
      <sz val="9.0"/>
      <color rgb="FF000000"/>
      <name val="Arial"/>
    </font>
    <font>
      <color theme="1"/>
      <name val="Calibri"/>
      <scheme val="minor"/>
    </font>
    <font>
      <b/>
      <sz val="10.0"/>
      <color rgb="FFFFFFFF"/>
      <name val="Arial"/>
    </font>
    <font>
      <sz val="10.0"/>
      <color rgb="FF000000"/>
      <name val="Arial"/>
    </font>
    <font>
      <sz val="10.0"/>
      <color rgb="FF0000FF"/>
      <name val="Arial"/>
    </font>
    <font>
      <i/>
      <sz val="9.0"/>
      <color rgb="FF808080"/>
      <name val="Arial"/>
    </font>
    <font>
      <b/>
      <sz val="9.0"/>
      <color rgb="FFFFFFFF"/>
      <name val="Arial"/>
    </font>
    <font>
      <sz val="10.0"/>
      <color rgb="FF006400"/>
      <name val="Arial"/>
    </font>
    <font>
      <sz val="10.0"/>
      <color rgb="FFCC0000"/>
      <name val="Arial"/>
    </font>
    <font>
      <b/>
      <sz val="11.0"/>
      <color rgb="FF000000"/>
      <name val="Arial"/>
    </font>
    <font>
      <b/>
      <sz val="10.0"/>
      <color rgb="FF000000"/>
      <name val="Arial"/>
    </font>
    <font>
      <sz val="10.0"/>
      <color rgb="FF404040"/>
      <name val="Arial"/>
    </font>
    <font>
      <b/>
      <sz val="11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0" fontId="6" numFmtId="0" xfId="0" applyBorder="1" applyFont="1"/>
    <xf borderId="1" fillId="3" fontId="7" numFmtId="0" xfId="0" applyAlignment="1" applyBorder="1" applyFill="1" applyFont="1">
      <alignment horizontal="left" shrinkToFit="0" vertical="center" wrapText="0"/>
    </xf>
    <xf borderId="4" fillId="0" fontId="8" numFmtId="0" xfId="0" applyAlignment="1" applyBorder="1" applyFont="1">
      <alignment horizontal="left" shrinkToFit="0" vertical="bottom" wrapText="0"/>
    </xf>
    <xf borderId="4" fillId="0" fontId="9" numFmtId="164" xfId="0" applyAlignment="1" applyBorder="1" applyFont="1" applyNumberFormat="1">
      <alignment horizontal="right" shrinkToFit="0" vertical="bottom" wrapText="0"/>
    </xf>
    <xf borderId="4" fillId="0" fontId="9" numFmtId="1" xfId="0" applyAlignment="1" applyBorder="1" applyFont="1" applyNumberFormat="1">
      <alignment horizontal="right" shrinkToFit="0" vertical="bottom" wrapText="0"/>
    </xf>
    <xf borderId="4" fillId="0" fontId="9" numFmtId="49" xfId="0" applyAlignment="1" applyBorder="1" applyFont="1" applyNumberFormat="1">
      <alignment horizontal="right" shrinkToFit="0" vertical="bottom" wrapText="0"/>
    </xf>
    <xf borderId="4" fillId="0" fontId="9" numFmtId="3" xfId="0" applyAlignment="1" applyBorder="1" applyFont="1" applyNumberFormat="1">
      <alignment horizontal="right" shrinkToFit="0" vertical="bottom" wrapText="0"/>
    </xf>
    <xf borderId="4" fillId="0" fontId="9" numFmtId="165" xfId="0" applyAlignment="1" applyBorder="1" applyFont="1" applyNumberFormat="1">
      <alignment horizontal="right" shrinkToFit="0" vertical="bottom" wrapText="0"/>
    </xf>
    <xf borderId="4" fillId="0" fontId="8" numFmtId="3" xfId="0" applyAlignment="1" applyBorder="1" applyFont="1" applyNumberFormat="1">
      <alignment horizontal="right" shrinkToFit="0" vertical="bottom" wrapText="0"/>
    </xf>
    <xf borderId="4" fillId="0" fontId="10" numFmtId="0" xfId="0" applyAlignment="1" applyBorder="1" applyFont="1">
      <alignment shrinkToFit="0" vertical="bottom" wrapText="0"/>
    </xf>
    <xf borderId="4" fillId="3" fontId="11" numFmtId="0" xfId="0" applyAlignment="1" applyBorder="1" applyFont="1">
      <alignment horizontal="left" shrinkToFit="0" vertical="center" wrapText="1"/>
    </xf>
    <xf borderId="4" fillId="3" fontId="11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bottom" wrapText="0"/>
    </xf>
    <xf borderId="4" fillId="0" fontId="13" numFmtId="0" xfId="0" applyAlignment="1" applyBorder="1" applyFont="1">
      <alignment horizontal="center" shrinkToFit="0" vertical="bottom" wrapText="0"/>
    </xf>
    <xf borderId="4" fillId="4" fontId="14" numFmtId="0" xfId="0" applyAlignment="1" applyBorder="1" applyFill="1" applyFont="1">
      <alignment horizontal="left" shrinkToFit="0" vertical="center" wrapText="1"/>
    </xf>
    <xf borderId="4" fillId="4" fontId="14" numFmtId="0" xfId="0" applyAlignment="1" applyBorder="1" applyFont="1">
      <alignment horizontal="center" shrinkToFit="0" vertical="center" wrapText="1"/>
    </xf>
    <xf borderId="4" fillId="0" fontId="8" numFmtId="164" xfId="0" applyAlignment="1" applyBorder="1" applyFont="1" applyNumberFormat="1">
      <alignment horizontal="right" shrinkToFit="0" vertical="bottom" wrapText="0"/>
    </xf>
    <xf borderId="4" fillId="0" fontId="15" numFmtId="0" xfId="0" applyAlignment="1" applyBorder="1" applyFont="1">
      <alignment horizontal="left" shrinkToFit="0" vertical="bottom" wrapText="0"/>
    </xf>
    <xf borderId="4" fillId="0" fontId="8" numFmtId="166" xfId="0" applyAlignment="1" applyBorder="1" applyFont="1" applyNumberFormat="1">
      <alignment horizontal="right" shrinkToFit="0" vertical="bottom" wrapText="0"/>
    </xf>
    <xf borderId="4" fillId="0" fontId="16" numFmtId="0" xfId="0" applyAlignment="1" applyBorder="1" applyFont="1">
      <alignment horizontal="center" shrinkToFit="0" vertical="bottom" wrapText="0"/>
    </xf>
    <xf borderId="4" fillId="0" fontId="8" numFmtId="49" xfId="0" applyAlignment="1" applyBorder="1" applyFont="1" applyNumberFormat="1">
      <alignment horizontal="center" shrinkToFit="0" vertical="bottom" wrapText="0"/>
    </xf>
    <xf borderId="4" fillId="0" fontId="8" numFmtId="165" xfId="0" applyAlignment="1" applyBorder="1" applyFont="1" applyNumberFormat="1">
      <alignment horizontal="right" shrinkToFit="0" vertical="bottom" wrapText="0"/>
    </xf>
    <xf borderId="4" fillId="0" fontId="8" numFmtId="167" xfId="0" applyAlignment="1" applyBorder="1" applyFont="1" applyNumberFormat="1">
      <alignment horizontal="right" shrinkToFit="0" vertical="bottom" wrapText="0"/>
    </xf>
    <xf borderId="4" fillId="0" fontId="8" numFmtId="0" xfId="0" applyAlignment="1" applyBorder="1" applyFont="1">
      <alignment horizontal="center" shrinkToFit="0" vertical="bottom" wrapText="0"/>
    </xf>
    <xf borderId="1" fillId="0" fontId="17" numFmtId="49" xfId="0" applyAlignment="1" applyBorder="1" applyFont="1" applyNumberFormat="1">
      <alignment horizontal="right" shrinkToFit="0" vertical="bottom" wrapText="0"/>
    </xf>
    <xf borderId="1" fillId="0" fontId="16" numFmtId="49" xfId="0" applyAlignment="1" applyBorder="1" applyFont="1" applyNumberFormat="1">
      <alignment horizontal="right" shrinkToFit="0" vertical="bottom" wrapText="0"/>
    </xf>
    <xf borderId="4" fillId="0" fontId="17" numFmtId="49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45.71"/>
    <col customWidth="1" min="4" max="26" width="8.71"/>
  </cols>
  <sheetData>
    <row r="1" ht="30.0" customHeight="1">
      <c r="A1" s="1" t="s">
        <v>0</v>
      </c>
      <c r="B1" s="2"/>
      <c r="C1" s="3"/>
    </row>
    <row r="2">
      <c r="A2" s="4" t="s">
        <v>1</v>
      </c>
      <c r="B2" s="5" t="s">
        <v>2</v>
      </c>
      <c r="C2" s="6" t="s">
        <v>3</v>
      </c>
    </row>
    <row r="3">
      <c r="A3" s="7"/>
      <c r="B3" s="7"/>
      <c r="C3" s="7"/>
    </row>
    <row r="4">
      <c r="A4" s="8" t="s">
        <v>4</v>
      </c>
      <c r="B4" s="2"/>
      <c r="C4" s="3"/>
    </row>
    <row r="5">
      <c r="A5" s="9" t="s">
        <v>5</v>
      </c>
      <c r="B5" s="10">
        <v>5000000.0</v>
      </c>
      <c r="C5" s="7"/>
    </row>
    <row r="6">
      <c r="A6" s="9" t="s">
        <v>6</v>
      </c>
      <c r="B6" s="10">
        <v>250000.0</v>
      </c>
      <c r="C6" s="7"/>
    </row>
    <row r="7">
      <c r="A7" s="9" t="s">
        <v>7</v>
      </c>
      <c r="B7" s="10">
        <v>75000.0</v>
      </c>
      <c r="C7" s="7"/>
    </row>
    <row r="8">
      <c r="A8" s="9" t="s">
        <v>8</v>
      </c>
      <c r="B8" s="10">
        <v>500000.0</v>
      </c>
      <c r="C8" s="7"/>
    </row>
    <row r="9">
      <c r="A9" s="9" t="s">
        <v>9</v>
      </c>
      <c r="B9" s="11">
        <v>10.0</v>
      </c>
      <c r="C9" s="7"/>
    </row>
    <row r="10">
      <c r="A10" s="9" t="s">
        <v>10</v>
      </c>
      <c r="B10" s="12" t="s">
        <v>11</v>
      </c>
      <c r="C10" s="7"/>
    </row>
    <row r="11">
      <c r="A11" s="7"/>
      <c r="B11" s="7"/>
      <c r="C11" s="7"/>
    </row>
    <row r="12">
      <c r="A12" s="8" t="s">
        <v>12</v>
      </c>
      <c r="B12" s="2"/>
      <c r="C12" s="3"/>
    </row>
    <row r="13">
      <c r="A13" s="9" t="s">
        <v>13</v>
      </c>
      <c r="B13" s="13">
        <v>50000.0</v>
      </c>
      <c r="C13" s="7"/>
    </row>
    <row r="14">
      <c r="A14" s="9" t="s">
        <v>14</v>
      </c>
      <c r="B14" s="14">
        <v>0.8</v>
      </c>
      <c r="C14" s="7"/>
    </row>
    <row r="15">
      <c r="A15" s="9" t="s">
        <v>15</v>
      </c>
      <c r="B15" s="15">
        <f>B13*B14</f>
        <v>40000</v>
      </c>
      <c r="C15" s="7"/>
    </row>
    <row r="16">
      <c r="A16" s="9" t="s">
        <v>16</v>
      </c>
      <c r="B16" s="10">
        <v>120.0</v>
      </c>
      <c r="C16" s="7"/>
    </row>
    <row r="17">
      <c r="A17" s="9" t="s">
        <v>17</v>
      </c>
      <c r="B17" s="10">
        <v>55.0</v>
      </c>
      <c r="C17" s="7"/>
    </row>
    <row r="18">
      <c r="A18" s="9" t="s">
        <v>18</v>
      </c>
      <c r="B18" s="10">
        <v>800000.0</v>
      </c>
      <c r="C18" s="7"/>
    </row>
    <row r="19">
      <c r="A19" s="9" t="s">
        <v>19</v>
      </c>
      <c r="B19" s="10">
        <v>120000.0</v>
      </c>
      <c r="C19" s="7"/>
    </row>
    <row r="20">
      <c r="A20" s="9" t="s">
        <v>20</v>
      </c>
      <c r="B20" s="14">
        <v>0.03</v>
      </c>
      <c r="C20" s="7"/>
    </row>
    <row r="21" ht="15.75" customHeight="1">
      <c r="A21" s="9" t="s">
        <v>21</v>
      </c>
      <c r="B21" s="14">
        <v>0.02</v>
      </c>
      <c r="C21" s="7"/>
    </row>
    <row r="22" ht="15.75" customHeight="1">
      <c r="A22" s="7"/>
      <c r="B22" s="7"/>
      <c r="C22" s="7"/>
    </row>
    <row r="23" ht="15.75" customHeight="1">
      <c r="A23" s="8" t="s">
        <v>22</v>
      </c>
      <c r="B23" s="2"/>
      <c r="C23" s="3"/>
    </row>
    <row r="24" ht="15.75" customHeight="1">
      <c r="A24" s="9" t="s">
        <v>23</v>
      </c>
      <c r="B24" s="14">
        <v>1.0</v>
      </c>
      <c r="C24" s="7"/>
    </row>
    <row r="25" ht="15.75" customHeight="1">
      <c r="A25" s="9" t="s">
        <v>24</v>
      </c>
      <c r="B25" s="14">
        <v>0.0</v>
      </c>
      <c r="C25" s="7"/>
    </row>
    <row r="26" ht="15.75" customHeight="1">
      <c r="A26" s="9" t="s">
        <v>25</v>
      </c>
      <c r="B26" s="14">
        <v>0.05</v>
      </c>
      <c r="C26" s="7"/>
    </row>
    <row r="27" ht="15.75" customHeight="1">
      <c r="A27" s="9" t="s">
        <v>26</v>
      </c>
      <c r="B27" s="14">
        <v>0.3</v>
      </c>
      <c r="C27" s="7"/>
    </row>
    <row r="28" ht="15.75" customHeight="1">
      <c r="A28" s="9" t="s">
        <v>27</v>
      </c>
      <c r="B28" s="14">
        <v>0.1</v>
      </c>
      <c r="C28" s="7"/>
    </row>
    <row r="29" ht="15.75" customHeight="1">
      <c r="A29" s="7"/>
      <c r="B29" s="7"/>
      <c r="C29" s="7"/>
    </row>
    <row r="30" ht="15.75" customHeight="1">
      <c r="A30" s="8" t="s">
        <v>28</v>
      </c>
      <c r="B30" s="2"/>
      <c r="C30" s="3"/>
    </row>
    <row r="31" ht="15.75" customHeight="1">
      <c r="A31" s="9" t="s">
        <v>29</v>
      </c>
      <c r="B31" s="12" t="s">
        <v>30</v>
      </c>
      <c r="C31" s="16" t="s">
        <v>31</v>
      </c>
    </row>
    <row r="32" ht="15.75" customHeight="1">
      <c r="A32" s="7"/>
      <c r="B32" s="7"/>
      <c r="C32" s="7"/>
    </row>
    <row r="33" ht="15.75" customHeight="1">
      <c r="A33" s="8" t="s">
        <v>32</v>
      </c>
      <c r="B33" s="2"/>
      <c r="C33" s="3"/>
    </row>
    <row r="34" ht="15.75" customHeight="1">
      <c r="A34" s="17" t="s">
        <v>33</v>
      </c>
      <c r="B34" s="18" t="s">
        <v>34</v>
      </c>
      <c r="C34" s="18" t="s">
        <v>35</v>
      </c>
    </row>
    <row r="35" ht="15.75" customHeight="1">
      <c r="A35" s="9" t="s">
        <v>36</v>
      </c>
      <c r="B35" s="19" t="s">
        <v>37</v>
      </c>
      <c r="C35" s="20" t="s">
        <v>38</v>
      </c>
    </row>
    <row r="36" ht="15.75" customHeight="1">
      <c r="A36" s="9" t="s">
        <v>39</v>
      </c>
      <c r="B36" s="19" t="s">
        <v>40</v>
      </c>
      <c r="C36" s="20" t="s">
        <v>41</v>
      </c>
    </row>
    <row r="37" ht="15.75" customHeight="1">
      <c r="A37" s="9" t="s">
        <v>42</v>
      </c>
      <c r="B37" s="19" t="s">
        <v>43</v>
      </c>
      <c r="C37" s="20" t="s">
        <v>44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A4:C4"/>
    <mergeCell ref="A12:C12"/>
    <mergeCell ref="A23:C23"/>
    <mergeCell ref="A30:C30"/>
    <mergeCell ref="A33:C3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12" width="13.0"/>
    <col customWidth="1" min="13" max="26" width="8.71"/>
  </cols>
  <sheetData>
    <row r="1" ht="30.0" customHeight="1">
      <c r="A1" s="1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>
      <c r="A3" s="21" t="s">
        <v>46</v>
      </c>
      <c r="B3" s="22" t="s">
        <v>47</v>
      </c>
      <c r="C3" s="22" t="s">
        <v>48</v>
      </c>
      <c r="D3" s="22" t="s">
        <v>49</v>
      </c>
      <c r="E3" s="22" t="s">
        <v>50</v>
      </c>
      <c r="F3" s="22" t="s">
        <v>51</v>
      </c>
      <c r="G3" s="22" t="s">
        <v>52</v>
      </c>
      <c r="H3" s="22" t="s">
        <v>53</v>
      </c>
      <c r="I3" s="22" t="s">
        <v>54</v>
      </c>
      <c r="J3" s="22" t="s">
        <v>55</v>
      </c>
      <c r="K3" s="22" t="s">
        <v>56</v>
      </c>
      <c r="L3" s="22" t="s">
        <v>57</v>
      </c>
    </row>
    <row r="4">
      <c r="A4" s="8" t="s">
        <v>58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>
      <c r="A5" s="9" t="s">
        <v>59</v>
      </c>
      <c r="B5" s="15">
        <f>Assumptions!B15</f>
        <v>40000</v>
      </c>
      <c r="C5" s="15">
        <f>B5*(1+Assumptions!$B$21)</f>
        <v>40800</v>
      </c>
      <c r="D5" s="15">
        <f>C5*(1+Assumptions!$B$21)</f>
        <v>41616</v>
      </c>
      <c r="E5" s="15">
        <f>D5*(1+Assumptions!$B$21)</f>
        <v>42448.32</v>
      </c>
      <c r="F5" s="15">
        <f>E5*(1+Assumptions!$B$21)</f>
        <v>43297.2864</v>
      </c>
      <c r="G5" s="15">
        <f>F5*(1+Assumptions!$B$21)</f>
        <v>44163.23213</v>
      </c>
      <c r="H5" s="15">
        <f>G5*(1+Assumptions!$B$21)</f>
        <v>45046.49677</v>
      </c>
      <c r="I5" s="15">
        <f>H5*(1+Assumptions!$B$21)</f>
        <v>45947.42671</v>
      </c>
      <c r="J5" s="15">
        <f>I5*(1+Assumptions!$B$21)</f>
        <v>46866.37524</v>
      </c>
      <c r="K5" s="15">
        <f>J5*(1+Assumptions!$B$21)</f>
        <v>47803.70274</v>
      </c>
      <c r="L5" s="7"/>
    </row>
    <row r="6">
      <c r="A6" s="9" t="s">
        <v>60</v>
      </c>
      <c r="B6" s="23">
        <f>Assumptions!B16</f>
        <v>120</v>
      </c>
      <c r="C6" s="23">
        <f>B6*(1+Assumptions!$B$21)</f>
        <v>122.4</v>
      </c>
      <c r="D6" s="23">
        <f>C6*(1+Assumptions!$B$21)</f>
        <v>124.848</v>
      </c>
      <c r="E6" s="23">
        <f>D6*(1+Assumptions!$B$21)</f>
        <v>127.34496</v>
      </c>
      <c r="F6" s="23">
        <f>E6*(1+Assumptions!$B$21)</f>
        <v>129.8918592</v>
      </c>
      <c r="G6" s="23">
        <f>F6*(1+Assumptions!$B$21)</f>
        <v>132.4896964</v>
      </c>
      <c r="H6" s="23">
        <f>G6*(1+Assumptions!$B$21)</f>
        <v>135.1394903</v>
      </c>
      <c r="I6" s="23">
        <f>H6*(1+Assumptions!$B$21)</f>
        <v>137.8422801</v>
      </c>
      <c r="J6" s="23">
        <f>I6*(1+Assumptions!$B$21)</f>
        <v>140.5991257</v>
      </c>
      <c r="K6" s="23">
        <f>J6*(1+Assumptions!$B$21)</f>
        <v>143.4111082</v>
      </c>
      <c r="L6" s="7"/>
    </row>
    <row r="7">
      <c r="A7" s="24" t="s">
        <v>61</v>
      </c>
      <c r="B7" s="23">
        <f t="shared" ref="B7:K7" si="1">B5*B6</f>
        <v>4800000</v>
      </c>
      <c r="C7" s="23">
        <f t="shared" si="1"/>
        <v>4993920</v>
      </c>
      <c r="D7" s="23">
        <f t="shared" si="1"/>
        <v>5195674.368</v>
      </c>
      <c r="E7" s="23">
        <f t="shared" si="1"/>
        <v>5405579.612</v>
      </c>
      <c r="F7" s="23">
        <f t="shared" si="1"/>
        <v>5623965.029</v>
      </c>
      <c r="G7" s="23">
        <f t="shared" si="1"/>
        <v>5851173.216</v>
      </c>
      <c r="H7" s="23">
        <f t="shared" si="1"/>
        <v>6087560.614</v>
      </c>
      <c r="I7" s="23">
        <f t="shared" si="1"/>
        <v>6333498.063</v>
      </c>
      <c r="J7" s="23">
        <f t="shared" si="1"/>
        <v>6589371.384</v>
      </c>
      <c r="K7" s="23">
        <f t="shared" si="1"/>
        <v>6855581.988</v>
      </c>
      <c r="L7" s="23">
        <f>SUM(B7:K7)</f>
        <v>57736324.27</v>
      </c>
    </row>
    <row r="8">
      <c r="A8" s="8" t="s">
        <v>62</v>
      </c>
      <c r="B8" s="2"/>
      <c r="C8" s="2"/>
      <c r="D8" s="2"/>
      <c r="E8" s="2"/>
      <c r="F8" s="2"/>
      <c r="G8" s="2"/>
      <c r="H8" s="2"/>
      <c r="I8" s="2"/>
      <c r="J8" s="2"/>
      <c r="K8" s="2"/>
      <c r="L8" s="3"/>
    </row>
    <row r="9">
      <c r="A9" s="9" t="s">
        <v>63</v>
      </c>
      <c r="B9" s="23">
        <f>B5*Assumptions!$B$17</f>
        <v>2200000</v>
      </c>
      <c r="C9" s="23">
        <f>C5*Assumptions!$B$17*(1+Assumptions!$B$22)^(2-1)</f>
        <v>2244000</v>
      </c>
      <c r="D9" s="23">
        <f>D5*Assumptions!$B$17*(1+Assumptions!$B$22)^(3-1)</f>
        <v>2288880</v>
      </c>
      <c r="E9" s="23">
        <f>E5*Assumptions!$B$17*(1+Assumptions!$B$22)^(4-1)</f>
        <v>2334657.6</v>
      </c>
      <c r="F9" s="23">
        <f>F5*Assumptions!$B$17*(1+Assumptions!$B$22)^(5-1)</f>
        <v>2381350.752</v>
      </c>
      <c r="G9" s="23">
        <f>G5*Assumptions!$B$17*(1+Assumptions!$B$22)^(6-1)</f>
        <v>2428977.767</v>
      </c>
      <c r="H9" s="23">
        <f>H5*Assumptions!$B$17*(1+Assumptions!$B$22)^(7-1)</f>
        <v>2477557.322</v>
      </c>
      <c r="I9" s="23">
        <f>I5*Assumptions!$B$17*(1+Assumptions!$B$22)^(8-1)</f>
        <v>2527108.469</v>
      </c>
      <c r="J9" s="23">
        <f>J5*Assumptions!$B$17*(1+Assumptions!$B$22)^(9-1)</f>
        <v>2577650.638</v>
      </c>
      <c r="K9" s="23">
        <f>K5*Assumptions!$B$17*(1+Assumptions!$B$22)^(10-1)</f>
        <v>2629203.651</v>
      </c>
      <c r="L9" s="7"/>
    </row>
    <row r="10">
      <c r="A10" s="9" t="s">
        <v>64</v>
      </c>
      <c r="B10" s="23">
        <f>Assumptions!$B$18</f>
        <v>800000</v>
      </c>
      <c r="C10" s="23">
        <f>B10*(1+Assumptions!$B$22)</f>
        <v>800000</v>
      </c>
      <c r="D10" s="23">
        <f>C10*(1+Assumptions!$B$22)</f>
        <v>800000</v>
      </c>
      <c r="E10" s="23">
        <f>D10*(1+Assumptions!$B$22)</f>
        <v>800000</v>
      </c>
      <c r="F10" s="23">
        <f>E10*(1+Assumptions!$B$22)</f>
        <v>800000</v>
      </c>
      <c r="G10" s="23">
        <f>F10*(1+Assumptions!$B$22)</f>
        <v>800000</v>
      </c>
      <c r="H10" s="23">
        <f>G10*(1+Assumptions!$B$22)</f>
        <v>800000</v>
      </c>
      <c r="I10" s="23">
        <f>H10*(1+Assumptions!$B$22)</f>
        <v>800000</v>
      </c>
      <c r="J10" s="23">
        <f>I10*(1+Assumptions!$B$22)</f>
        <v>800000</v>
      </c>
      <c r="K10" s="23">
        <f>J10*(1+Assumptions!$B$22)</f>
        <v>800000</v>
      </c>
      <c r="L10" s="7"/>
    </row>
    <row r="11">
      <c r="A11" s="9" t="s">
        <v>65</v>
      </c>
      <c r="B11" s="23">
        <f>Assumptions!$B$19</f>
        <v>120000</v>
      </c>
      <c r="C11" s="23">
        <f>B11*(1+Assumptions!$B$22)</f>
        <v>120000</v>
      </c>
      <c r="D11" s="23">
        <f>C11*(1+Assumptions!$B$22)</f>
        <v>120000</v>
      </c>
      <c r="E11" s="23">
        <f>D11*(1+Assumptions!$B$22)</f>
        <v>120000</v>
      </c>
      <c r="F11" s="23">
        <f>E11*(1+Assumptions!$B$22)</f>
        <v>120000</v>
      </c>
      <c r="G11" s="23">
        <f>F11*(1+Assumptions!$B$22)</f>
        <v>120000</v>
      </c>
      <c r="H11" s="23">
        <f>G11*(1+Assumptions!$B$22)</f>
        <v>120000</v>
      </c>
      <c r="I11" s="23">
        <f>H11*(1+Assumptions!$B$22)</f>
        <v>120000</v>
      </c>
      <c r="J11" s="23">
        <f>I11*(1+Assumptions!$B$22)</f>
        <v>120000</v>
      </c>
      <c r="K11" s="23">
        <f>J11*(1+Assumptions!$B$22)</f>
        <v>120000</v>
      </c>
      <c r="L11" s="7"/>
    </row>
    <row r="12">
      <c r="A12" s="9" t="s">
        <v>66</v>
      </c>
      <c r="B12" s="23">
        <f>(Assumptions!B5+Assumptions!B6+Assumptions!B7-Assumptions!B8)/Assumptions!B9</f>
        <v>482500</v>
      </c>
      <c r="C12" s="23">
        <f>(Assumptions!B5+Assumptions!B6+Assumptions!B7-Assumptions!B8)/Assumptions!B9</f>
        <v>482500</v>
      </c>
      <c r="D12" s="23">
        <f>(Assumptions!B5+Assumptions!B6+Assumptions!B7-Assumptions!B8)/Assumptions!B9</f>
        <v>482500</v>
      </c>
      <c r="E12" s="23">
        <f>(Assumptions!B5+Assumptions!B6+Assumptions!B7-Assumptions!B8)/Assumptions!B9</f>
        <v>482500</v>
      </c>
      <c r="F12" s="23">
        <f>(Assumptions!B5+Assumptions!B6+Assumptions!B7-Assumptions!B8)/Assumptions!B9</f>
        <v>482500</v>
      </c>
      <c r="G12" s="23">
        <f>(Assumptions!B5+Assumptions!B6+Assumptions!B7-Assumptions!B8)/Assumptions!B9</f>
        <v>482500</v>
      </c>
      <c r="H12" s="23">
        <f>(Assumptions!B5+Assumptions!B6+Assumptions!B7-Assumptions!B8)/Assumptions!B9</f>
        <v>482500</v>
      </c>
      <c r="I12" s="23">
        <f>(Assumptions!B5+Assumptions!B6+Assumptions!B7-Assumptions!B8)/Assumptions!B9</f>
        <v>482500</v>
      </c>
      <c r="J12" s="23">
        <f>(Assumptions!B5+Assumptions!B6+Assumptions!B7-Assumptions!B8)/Assumptions!B9</f>
        <v>482500</v>
      </c>
      <c r="K12" s="23">
        <f>(Assumptions!B5+Assumptions!B6+Assumptions!B7-Assumptions!B8)/Assumptions!B9</f>
        <v>482500</v>
      </c>
      <c r="L12" s="7"/>
    </row>
    <row r="13">
      <c r="A13" s="24" t="s">
        <v>67</v>
      </c>
      <c r="B13" s="23">
        <f t="shared" ref="B13:K13" si="2">SUM(B9:B12)</f>
        <v>3602500</v>
      </c>
      <c r="C13" s="23">
        <f t="shared" si="2"/>
        <v>3646500</v>
      </c>
      <c r="D13" s="23">
        <f t="shared" si="2"/>
        <v>3691380</v>
      </c>
      <c r="E13" s="23">
        <f t="shared" si="2"/>
        <v>3737157.6</v>
      </c>
      <c r="F13" s="23">
        <f t="shared" si="2"/>
        <v>3783850.752</v>
      </c>
      <c r="G13" s="23">
        <f t="shared" si="2"/>
        <v>3831477.767</v>
      </c>
      <c r="H13" s="23">
        <f t="shared" si="2"/>
        <v>3880057.322</v>
      </c>
      <c r="I13" s="23">
        <f t="shared" si="2"/>
        <v>3929608.469</v>
      </c>
      <c r="J13" s="23">
        <f t="shared" si="2"/>
        <v>3980150.638</v>
      </c>
      <c r="K13" s="23">
        <f t="shared" si="2"/>
        <v>4031703.651</v>
      </c>
      <c r="L13" s="23">
        <f>SUM(B13:K13)</f>
        <v>38114386.2</v>
      </c>
    </row>
    <row r="14">
      <c r="A14" s="8" t="s">
        <v>68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</row>
    <row r="15">
      <c r="A15" s="24" t="s">
        <v>69</v>
      </c>
      <c r="B15" s="23">
        <f t="shared" ref="B15:K15" si="3">B7-B13</f>
        <v>1197500</v>
      </c>
      <c r="C15" s="23">
        <f t="shared" si="3"/>
        <v>1347420</v>
      </c>
      <c r="D15" s="23">
        <f t="shared" si="3"/>
        <v>1504294.368</v>
      </c>
      <c r="E15" s="23">
        <f t="shared" si="3"/>
        <v>1668422.012</v>
      </c>
      <c r="F15" s="23">
        <f t="shared" si="3"/>
        <v>1840114.277</v>
      </c>
      <c r="G15" s="23">
        <f t="shared" si="3"/>
        <v>2019695.449</v>
      </c>
      <c r="H15" s="23">
        <f t="shared" si="3"/>
        <v>2207503.292</v>
      </c>
      <c r="I15" s="23">
        <f t="shared" si="3"/>
        <v>2403889.594</v>
      </c>
      <c r="J15" s="23">
        <f t="shared" si="3"/>
        <v>2609220.746</v>
      </c>
      <c r="K15" s="23">
        <f t="shared" si="3"/>
        <v>2823878.337</v>
      </c>
      <c r="L15" s="23">
        <f>SUM(B15:K15)</f>
        <v>19621938.08</v>
      </c>
    </row>
    <row r="16">
      <c r="A16" s="9" t="s">
        <v>70</v>
      </c>
      <c r="B16" s="23">
        <f>MAX(B15,0)*Assumptions!$B$27</f>
        <v>359250</v>
      </c>
      <c r="C16" s="23">
        <f>MAX(C15,0)*Assumptions!$B$27</f>
        <v>404226</v>
      </c>
      <c r="D16" s="23">
        <f>MAX(D15,0)*Assumptions!$B$27</f>
        <v>451288.3104</v>
      </c>
      <c r="E16" s="23">
        <f>MAX(E15,0)*Assumptions!$B$27</f>
        <v>500526.6037</v>
      </c>
      <c r="F16" s="23">
        <f>MAX(F15,0)*Assumptions!$B$27</f>
        <v>552034.283</v>
      </c>
      <c r="G16" s="23">
        <f>MAX(G15,0)*Assumptions!$B$27</f>
        <v>605908.6347</v>
      </c>
      <c r="H16" s="23">
        <f>MAX(H15,0)*Assumptions!$B$27</f>
        <v>662250.9875</v>
      </c>
      <c r="I16" s="23">
        <f>MAX(I15,0)*Assumptions!$B$27</f>
        <v>721166.8782</v>
      </c>
      <c r="J16" s="23">
        <f>MAX(J15,0)*Assumptions!$B$27</f>
        <v>782766.2239</v>
      </c>
      <c r="K16" s="23">
        <f>MAX(K15,0)*Assumptions!$B$27</f>
        <v>847163.5012</v>
      </c>
      <c r="L16" s="7"/>
    </row>
    <row r="17">
      <c r="A17" s="24" t="s">
        <v>71</v>
      </c>
      <c r="B17" s="23">
        <f t="shared" ref="B17:K17" si="4">B15-B16</f>
        <v>838250</v>
      </c>
      <c r="C17" s="23">
        <f t="shared" si="4"/>
        <v>943194</v>
      </c>
      <c r="D17" s="23">
        <f t="shared" si="4"/>
        <v>1053006.058</v>
      </c>
      <c r="E17" s="23">
        <f t="shared" si="4"/>
        <v>1167895.409</v>
      </c>
      <c r="F17" s="23">
        <f t="shared" si="4"/>
        <v>1288079.994</v>
      </c>
      <c r="G17" s="23">
        <f t="shared" si="4"/>
        <v>1413786.814</v>
      </c>
      <c r="H17" s="23">
        <f t="shared" si="4"/>
        <v>1545252.304</v>
      </c>
      <c r="I17" s="23">
        <f t="shared" si="4"/>
        <v>1682722.716</v>
      </c>
      <c r="J17" s="23">
        <f t="shared" si="4"/>
        <v>1826454.522</v>
      </c>
      <c r="K17" s="23">
        <f t="shared" si="4"/>
        <v>1976714.836</v>
      </c>
      <c r="L17" s="23">
        <f>SUM(B17:K17)</f>
        <v>13735356.65</v>
      </c>
    </row>
    <row r="18">
      <c r="A18" s="9" t="s">
        <v>72</v>
      </c>
      <c r="B18" s="23">
        <f t="shared" ref="B18:K18" si="5">B12</f>
        <v>482500</v>
      </c>
      <c r="C18" s="23">
        <f t="shared" si="5"/>
        <v>482500</v>
      </c>
      <c r="D18" s="23">
        <f t="shared" si="5"/>
        <v>482500</v>
      </c>
      <c r="E18" s="23">
        <f t="shared" si="5"/>
        <v>482500</v>
      </c>
      <c r="F18" s="23">
        <f t="shared" si="5"/>
        <v>482500</v>
      </c>
      <c r="G18" s="23">
        <f t="shared" si="5"/>
        <v>482500</v>
      </c>
      <c r="H18" s="23">
        <f t="shared" si="5"/>
        <v>482500</v>
      </c>
      <c r="I18" s="23">
        <f t="shared" si="5"/>
        <v>482500</v>
      </c>
      <c r="J18" s="23">
        <f t="shared" si="5"/>
        <v>482500</v>
      </c>
      <c r="K18" s="23">
        <f t="shared" si="5"/>
        <v>482500</v>
      </c>
      <c r="L18" s="7"/>
    </row>
    <row r="19">
      <c r="A19" s="24" t="s">
        <v>73</v>
      </c>
      <c r="B19" s="23">
        <f t="shared" ref="B19:K19" si="6">B17+B18</f>
        <v>1320750</v>
      </c>
      <c r="C19" s="23">
        <f t="shared" si="6"/>
        <v>1425694</v>
      </c>
      <c r="D19" s="23">
        <f t="shared" si="6"/>
        <v>1535506.058</v>
      </c>
      <c r="E19" s="23">
        <f t="shared" si="6"/>
        <v>1650395.409</v>
      </c>
      <c r="F19" s="23">
        <f t="shared" si="6"/>
        <v>1770579.994</v>
      </c>
      <c r="G19" s="23">
        <f t="shared" si="6"/>
        <v>1896286.814</v>
      </c>
      <c r="H19" s="23">
        <f t="shared" si="6"/>
        <v>2027752.304</v>
      </c>
      <c r="I19" s="23">
        <f t="shared" si="6"/>
        <v>2165222.716</v>
      </c>
      <c r="J19" s="23">
        <f t="shared" si="6"/>
        <v>2308954.522</v>
      </c>
      <c r="K19" s="23">
        <f t="shared" si="6"/>
        <v>2459214.836</v>
      </c>
      <c r="L19" s="23">
        <f>SUM(B19:K19)</f>
        <v>18560356.65</v>
      </c>
    </row>
    <row r="20">
      <c r="A20" s="8" t="s">
        <v>74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</row>
    <row r="21" ht="15.75" customHeight="1">
      <c r="A21" s="9" t="s">
        <v>75</v>
      </c>
      <c r="B21" s="23">
        <f>-(Assumptions!B5+Assumptions!B6+Assumptions!B7)</f>
        <v>-5325000</v>
      </c>
      <c r="C21" s="23">
        <v>0.0</v>
      </c>
      <c r="D21" s="23">
        <v>0.0</v>
      </c>
      <c r="E21" s="23">
        <v>0.0</v>
      </c>
      <c r="F21" s="23">
        <v>0.0</v>
      </c>
      <c r="G21" s="23">
        <v>0.0</v>
      </c>
      <c r="H21" s="23">
        <v>0.0</v>
      </c>
      <c r="I21" s="23">
        <v>0.0</v>
      </c>
      <c r="J21" s="23">
        <v>0.0</v>
      </c>
      <c r="K21" s="23">
        <v>0.0</v>
      </c>
      <c r="L21" s="7"/>
    </row>
    <row r="22" ht="15.75" customHeight="1">
      <c r="A22" s="9" t="s">
        <v>76</v>
      </c>
      <c r="B22" s="23">
        <v>0.0</v>
      </c>
      <c r="C22" s="23">
        <v>0.0</v>
      </c>
      <c r="D22" s="23">
        <v>0.0</v>
      </c>
      <c r="E22" s="23">
        <v>0.0</v>
      </c>
      <c r="F22" s="23">
        <v>0.0</v>
      </c>
      <c r="G22" s="23">
        <v>0.0</v>
      </c>
      <c r="H22" s="23">
        <v>0.0</v>
      </c>
      <c r="I22" s="23">
        <v>0.0</v>
      </c>
      <c r="J22" s="23">
        <v>0.0</v>
      </c>
      <c r="K22" s="23">
        <f>Assumptions!B8</f>
        <v>500000</v>
      </c>
      <c r="L22" s="7"/>
    </row>
    <row r="23" ht="15.75" customHeight="1">
      <c r="A23" s="24" t="s">
        <v>77</v>
      </c>
      <c r="B23" s="23">
        <f t="shared" ref="B23:K23" si="7">B19+B21+B22</f>
        <v>-4004250</v>
      </c>
      <c r="C23" s="23">
        <f t="shared" si="7"/>
        <v>1425694</v>
      </c>
      <c r="D23" s="23">
        <f t="shared" si="7"/>
        <v>1535506.058</v>
      </c>
      <c r="E23" s="23">
        <f t="shared" si="7"/>
        <v>1650395.409</v>
      </c>
      <c r="F23" s="23">
        <f t="shared" si="7"/>
        <v>1770579.994</v>
      </c>
      <c r="G23" s="23">
        <f t="shared" si="7"/>
        <v>1896286.814</v>
      </c>
      <c r="H23" s="23">
        <f t="shared" si="7"/>
        <v>2027752.304</v>
      </c>
      <c r="I23" s="23">
        <f t="shared" si="7"/>
        <v>2165222.716</v>
      </c>
      <c r="J23" s="23">
        <f t="shared" si="7"/>
        <v>2308954.522</v>
      </c>
      <c r="K23" s="23">
        <f t="shared" si="7"/>
        <v>2959214.836</v>
      </c>
      <c r="L23" s="23">
        <f>SUM(B23:K23)</f>
        <v>13735356.65</v>
      </c>
    </row>
    <row r="24" ht="15.75" customHeight="1">
      <c r="A24" s="8" t="s">
        <v>78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</row>
    <row r="25" ht="15.75" customHeight="1">
      <c r="A25" s="9" t="s">
        <v>79</v>
      </c>
      <c r="B25" s="25">
        <f>1/(1+Assumptions!$B$28)^1</f>
        <v>0.9090909091</v>
      </c>
      <c r="C25" s="25">
        <f>1/(1+Assumptions!$B$28)^2</f>
        <v>0.826446281</v>
      </c>
      <c r="D25" s="25">
        <f>1/(1+Assumptions!$B$28)^3</f>
        <v>0.7513148009</v>
      </c>
      <c r="E25" s="25">
        <f>1/(1+Assumptions!$B$28)^4</f>
        <v>0.6830134554</v>
      </c>
      <c r="F25" s="25">
        <f>1/(1+Assumptions!$B$28)^5</f>
        <v>0.6209213231</v>
      </c>
      <c r="G25" s="25">
        <f>1/(1+Assumptions!$B$28)^6</f>
        <v>0.5644739301</v>
      </c>
      <c r="H25" s="25">
        <f>1/(1+Assumptions!$B$28)^7</f>
        <v>0.5131581182</v>
      </c>
      <c r="I25" s="25">
        <f>1/(1+Assumptions!$B$28)^8</f>
        <v>0.4665073802</v>
      </c>
      <c r="J25" s="25">
        <f>1/(1+Assumptions!$B$28)^9</f>
        <v>0.4240976184</v>
      </c>
      <c r="K25" s="25">
        <f>1/(1+Assumptions!$B$28)^10</f>
        <v>0.3855432894</v>
      </c>
      <c r="L25" s="7"/>
    </row>
    <row r="26" ht="15.75" customHeight="1">
      <c r="A26" s="24" t="s">
        <v>80</v>
      </c>
      <c r="B26" s="23">
        <f t="shared" ref="B26:K26" si="8">B23*B25</f>
        <v>-3640227.273</v>
      </c>
      <c r="C26" s="23">
        <f t="shared" si="8"/>
        <v>1178259.504</v>
      </c>
      <c r="D26" s="23">
        <f t="shared" si="8"/>
        <v>1153648.428</v>
      </c>
      <c r="E26" s="23">
        <f t="shared" si="8"/>
        <v>1127242.271</v>
      </c>
      <c r="F26" s="23">
        <f t="shared" si="8"/>
        <v>1099390.872</v>
      </c>
      <c r="G26" s="23">
        <f t="shared" si="8"/>
        <v>1070404.471</v>
      </c>
      <c r="H26" s="23">
        <f t="shared" si="8"/>
        <v>1040557.557</v>
      </c>
      <c r="I26" s="23">
        <f t="shared" si="8"/>
        <v>1010092.377</v>
      </c>
      <c r="J26" s="23">
        <f t="shared" si="8"/>
        <v>979222.1139</v>
      </c>
      <c r="K26" s="23">
        <f t="shared" si="8"/>
        <v>1140905.422</v>
      </c>
      <c r="L26" s="23">
        <f>SUM(B26:K26)</f>
        <v>6159495.742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4:L4"/>
    <mergeCell ref="A8:L8"/>
    <mergeCell ref="A14:L14"/>
    <mergeCell ref="A20:L20"/>
    <mergeCell ref="A24:L2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20.0"/>
    <col customWidth="1" min="3" max="4" width="22.0"/>
    <col customWidth="1" min="5" max="5" width="13.71"/>
    <col customWidth="1" min="6" max="26" width="8.71"/>
  </cols>
  <sheetData>
    <row r="1" ht="30.0" customHeight="1">
      <c r="A1" s="1" t="s">
        <v>81</v>
      </c>
      <c r="B1" s="2"/>
      <c r="C1" s="2"/>
      <c r="D1" s="3"/>
      <c r="E1" s="7"/>
    </row>
    <row r="2">
      <c r="A2" s="7"/>
      <c r="B2" s="7"/>
      <c r="C2" s="7"/>
      <c r="D2" s="7"/>
      <c r="E2" s="7"/>
    </row>
    <row r="3">
      <c r="A3" s="8" t="s">
        <v>82</v>
      </c>
      <c r="B3" s="2"/>
      <c r="C3" s="2"/>
      <c r="D3" s="3"/>
      <c r="E3" s="7"/>
    </row>
    <row r="4">
      <c r="A4" s="17" t="s">
        <v>83</v>
      </c>
      <c r="B4" s="18" t="s">
        <v>84</v>
      </c>
      <c r="C4" s="18" t="s">
        <v>85</v>
      </c>
      <c r="D4" s="18" t="s">
        <v>86</v>
      </c>
      <c r="E4" s="7"/>
    </row>
    <row r="5">
      <c r="A5" s="9" t="s">
        <v>87</v>
      </c>
      <c r="B5" s="23">
        <f>-('DCF Model'!B21)</f>
        <v>5325000</v>
      </c>
      <c r="C5" s="26" t="s">
        <v>88</v>
      </c>
      <c r="D5" s="27" t="s">
        <v>88</v>
      </c>
      <c r="E5" s="7"/>
    </row>
    <row r="6">
      <c r="A6" s="9" t="s">
        <v>89</v>
      </c>
      <c r="B6" s="23">
        <f>'DCF Model'!L7</f>
        <v>57736324.27</v>
      </c>
      <c r="C6" s="26" t="s">
        <v>88</v>
      </c>
      <c r="D6" s="27" t="s">
        <v>88</v>
      </c>
      <c r="E6" s="7"/>
    </row>
    <row r="7">
      <c r="A7" s="9" t="s">
        <v>90</v>
      </c>
      <c r="B7" s="23">
        <f>'DCF Model'!L19</f>
        <v>18560356.65</v>
      </c>
      <c r="C7" s="26" t="s">
        <v>88</v>
      </c>
      <c r="D7" s="27" t="s">
        <v>88</v>
      </c>
      <c r="E7" s="7"/>
    </row>
    <row r="8">
      <c r="A8" s="9" t="s">
        <v>91</v>
      </c>
      <c r="B8" s="23">
        <f>'DCF Model'!L26+'DCF Model'!B21</f>
        <v>834495.7423</v>
      </c>
      <c r="C8" s="26" t="s">
        <v>92</v>
      </c>
      <c r="D8" s="27" t="str">
        <f>IF(B8&gt;0,"✔ INVEST","✘ REJECT")</f>
        <v>✔ INVEST</v>
      </c>
      <c r="E8" s="7"/>
    </row>
    <row r="9">
      <c r="A9" s="9" t="s">
        <v>93</v>
      </c>
      <c r="B9" s="28">
        <f>IFERROR(IRR('DCF Model'!B23:K23),"N/A")</f>
        <v>0.3986496004</v>
      </c>
      <c r="C9" s="26" t="s">
        <v>94</v>
      </c>
      <c r="D9" s="27" t="str">
        <f>IF(ISNUMBER(B9),IF(B9&gt;Assumptions!B28,"✔ INVEST","✘ REJECT"),"N/A")</f>
        <v>✔ INVEST</v>
      </c>
      <c r="E9" s="7"/>
    </row>
    <row r="10">
      <c r="A10" s="9" t="s">
        <v>95</v>
      </c>
      <c r="B10" s="29" t="str">
        <f t="array" ref="B10">IFERROR(MATCH(TRUE(),MMULT((ROW(INDIRECT("1:10"))&gt;=TRANSPOSE(ROW(INDIRECT("1:10")))),N('DCF Model'!B23:K23))&gt;=ABS('DCF Model'!B21),0),"&gt;10")</f>
        <v>&gt;10</v>
      </c>
      <c r="C10" s="26" t="s">
        <v>96</v>
      </c>
      <c r="D10" s="27" t="str">
        <f>IF(ISNUMBER(B10),IF(B10&lt;5,"✔ INVEST","✘ REVIEW"),"Review")</f>
        <v>Review</v>
      </c>
      <c r="E10" s="7"/>
    </row>
    <row r="11">
      <c r="A11" s="9" t="s">
        <v>97</v>
      </c>
      <c r="B11" s="28">
        <f>('DCF Model'!B15+'DCF Model'!B12)/'DCF Model'!B7</f>
        <v>0.35</v>
      </c>
      <c r="C11" s="26" t="s">
        <v>98</v>
      </c>
      <c r="D11" s="27" t="str">
        <f>IF(B11&gt;0.2,"✔ STRONG","✘ WEAK")</f>
        <v>✔ STRONG</v>
      </c>
      <c r="E11" s="7"/>
    </row>
    <row r="12">
      <c r="A12" s="9" t="s">
        <v>99</v>
      </c>
      <c r="B12" s="28">
        <f>'DCF Model'!L19/ABS('DCF Model'!B21)</f>
        <v>3.485512986</v>
      </c>
      <c r="C12" s="26" t="s">
        <v>100</v>
      </c>
      <c r="D12" s="27" t="str">
        <f>IF(B12&gt;1,"✔ POSITIVE","✘ NEGATIVE")</f>
        <v>✔ POSITIVE</v>
      </c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8" t="s">
        <v>101</v>
      </c>
      <c r="B15" s="2"/>
      <c r="C15" s="2"/>
      <c r="D15" s="3"/>
      <c r="E15" s="7"/>
    </row>
    <row r="16">
      <c r="A16" s="18" t="s">
        <v>102</v>
      </c>
      <c r="B16" s="18" t="s">
        <v>103</v>
      </c>
      <c r="C16" s="18" t="s">
        <v>104</v>
      </c>
      <c r="D16" s="18" t="s">
        <v>105</v>
      </c>
      <c r="E16" s="18" t="s">
        <v>106</v>
      </c>
    </row>
    <row r="17">
      <c r="A17" s="30" t="s">
        <v>107</v>
      </c>
      <c r="B17" s="23">
        <f t="array" ref="B17">SUMPRODUCT(((0.65*Assumptions!$B$13*90-0.65*Assumptions!$B$13*Assumptions!$B$17-Assumptions!$B$18-Assumptions!$B$19-(Assumptions!$B$5+Assumptions!$B$6+Assumptions!$B$7-Assumptions!$B$8)/Assumptions!$B$9)*(1-Assumptions!$B$27)+(Assumptions!$B$5+Assumptions!$B$6+Assumptions!$B$7-Assumptions!$B$8)/Assumptions!$B$9)*(1+Assumptions!$B$21)^(ROW(INDIRECT("1:10"))-1)/(1+Assumptions!$B$28)^ROW(INDIRECT("1:10")))-(Assumptions!$B$5+Assumptions!$B$6+Assumptions!$B$7)+Assumptions!$B$8/(1+Assumptions!$B$28)^10</f>
        <v>-3164510.983</v>
      </c>
      <c r="C17" s="23">
        <f t="array" ref="C17">SUMPRODUCT(((0.65*Assumptions!$B$13*105-0.65*Assumptions!$B$13*Assumptions!$B$17-Assumptions!$B$18-Assumptions!$B$19-(Assumptions!$B$5+Assumptions!$B$6+Assumptions!$B$7-Assumptions!$B$8)/Assumptions!$B$9)*(1-Assumptions!$B$27)+(Assumptions!$B$5+Assumptions!$B$6+Assumptions!$B$7-Assumptions!$B$8)/Assumptions!$B$9)*(1+Assumptions!$B$21)^(ROW(INDIRECT("1:10"))-1)/(1+Assumptions!$B$28)^ROW(INDIRECT("1:10")))-(Assumptions!$B$5+Assumptions!$B$6+Assumptions!$B$7)+Assumptions!$B$8/(1+Assumptions!$B$28)^10</f>
        <v>-903623.5974</v>
      </c>
      <c r="D17" s="23">
        <f t="array" ref="D17">SUMPRODUCT(((0.65*Assumptions!$B$13*120-0.65*Assumptions!$B$13*Assumptions!$B$17-Assumptions!$B$18-Assumptions!$B$19-(Assumptions!$B$5+Assumptions!$B$6+Assumptions!$B$7-Assumptions!$B$8)/Assumptions!$B$9)*(1-Assumptions!$B$27)+(Assumptions!$B$5+Assumptions!$B$6+Assumptions!$B$7-Assumptions!$B$8)/Assumptions!$B$9)*(1+Assumptions!$B$21)^(ROW(INDIRECT("1:10"))-1)/(1+Assumptions!$B$28)^ROW(INDIRECT("1:10")))-(Assumptions!$B$5+Assumptions!$B$6+Assumptions!$B$7)+Assumptions!$B$8/(1+Assumptions!$B$28)^10</f>
        <v>1357263.788</v>
      </c>
      <c r="E17" s="23">
        <f t="array" ref="E17">SUMPRODUCT(((0.65*Assumptions!$B$13*135-0.65*Assumptions!$B$13*Assumptions!$B$17-Assumptions!$B$18-Assumptions!$B$19-(Assumptions!$B$5+Assumptions!$B$6+Assumptions!$B$7-Assumptions!$B$8)/Assumptions!$B$9)*(1-Assumptions!$B$27)+(Assumptions!$B$5+Assumptions!$B$6+Assumptions!$B$7-Assumptions!$B$8)/Assumptions!$B$9)*(1+Assumptions!$B$21)^(ROW(INDIRECT("1:10"))-1)/(1+Assumptions!$B$28)^ROW(INDIRECT("1:10")))-(Assumptions!$B$5+Assumptions!$B$6+Assumptions!$B$7)+Assumptions!$B$8/(1+Assumptions!$B$28)^10</f>
        <v>3618151.173</v>
      </c>
    </row>
    <row r="18">
      <c r="A18" s="30" t="s">
        <v>108</v>
      </c>
      <c r="B18" s="23">
        <f t="array" ref="B18">SUMPRODUCT(((0.72*Assumptions!$B$13*90-0.72*Assumptions!$B$13*Assumptions!$B$17-Assumptions!$B$18-Assumptions!$B$19-(Assumptions!$B$5+Assumptions!$B$6+Assumptions!$B$7-Assumptions!$B$8)/Assumptions!$B$9)*(1-Assumptions!$B$27)+(Assumptions!$B$5+Assumptions!$B$6+Assumptions!$B$7-Assumptions!$B$8)/Assumptions!$B$9)*(1+Assumptions!$B$21)^(ROW(INDIRECT("1:10"))-1)/(1+Assumptions!$B$28)^ROW(INDIRECT("1:10")))-(Assumptions!$B$5+Assumptions!$B$6+Assumptions!$B$7)+Assumptions!$B$8/(1+Assumptions!$B$28)^10</f>
        <v>-2596390.563</v>
      </c>
      <c r="C18" s="23">
        <f t="array" ref="C18">SUMPRODUCT(((0.72*Assumptions!$B$13*105-0.72*Assumptions!$B$13*Assumptions!$B$17-Assumptions!$B$18-Assumptions!$B$19-(Assumptions!$B$5+Assumptions!$B$6+Assumptions!$B$7-Assumptions!$B$8)/Assumptions!$B$9)*(1-Assumptions!$B$27)+(Assumptions!$B$5+Assumptions!$B$6+Assumptions!$B$7-Assumptions!$B$8)/Assumptions!$B$9)*(1+Assumptions!$B$21)^(ROW(INDIRECT("1:10"))-1)/(1+Assumptions!$B$28)^ROW(INDIRECT("1:10")))-(Assumptions!$B$5+Assumptions!$B$6+Assumptions!$B$7)+Assumptions!$B$8/(1+Assumptions!$B$28)^10</f>
        <v>-92022.99759</v>
      </c>
      <c r="D18" s="23">
        <f t="array" ref="D18">SUMPRODUCT(((0.72*Assumptions!$B$13*120-0.72*Assumptions!$B$13*Assumptions!$B$17-Assumptions!$B$18-Assumptions!$B$19-(Assumptions!$B$5+Assumptions!$B$6+Assumptions!$B$7-Assumptions!$B$8)/Assumptions!$B$9)*(1-Assumptions!$B$27)+(Assumptions!$B$5+Assumptions!$B$6+Assumptions!$B$7-Assumptions!$B$8)/Assumptions!$B$9)*(1+Assumptions!$B$21)^(ROW(INDIRECT("1:10"))-1)/(1+Assumptions!$B$28)^ROW(INDIRECT("1:10")))-(Assumptions!$B$5+Assumptions!$B$6+Assumptions!$B$7)+Assumptions!$B$8/(1+Assumptions!$B$28)^10</f>
        <v>2412344.568</v>
      </c>
      <c r="E18" s="23">
        <f t="array" ref="E18">SUMPRODUCT(((0.72*Assumptions!$B$13*135-0.72*Assumptions!$B$13*Assumptions!$B$17-Assumptions!$B$18-Assumptions!$B$19-(Assumptions!$B$5+Assumptions!$B$6+Assumptions!$B$7-Assumptions!$B$8)/Assumptions!$B$9)*(1-Assumptions!$B$27)+(Assumptions!$B$5+Assumptions!$B$6+Assumptions!$B$7-Assumptions!$B$8)/Assumptions!$B$9)*(1+Assumptions!$B$21)^(ROW(INDIRECT("1:10"))-1)/(1+Assumptions!$B$28)^ROW(INDIRECT("1:10")))-(Assumptions!$B$5+Assumptions!$B$6+Assumptions!$B$7)+Assumptions!$B$8/(1+Assumptions!$B$28)^10</f>
        <v>4916712.133</v>
      </c>
    </row>
    <row r="19">
      <c r="A19" s="30" t="s">
        <v>109</v>
      </c>
      <c r="B19" s="23">
        <f t="array" ref="B19">SUMPRODUCT(((0.8*Assumptions!$B$13*90-0.8*Assumptions!$B$13*Assumptions!$B$17-Assumptions!$B$18-Assumptions!$B$19-(Assumptions!$B$5+Assumptions!$B$6+Assumptions!$B$7-Assumptions!$B$8)/Assumptions!$B$9)*(1-Assumptions!$B$27)+(Assumptions!$B$5+Assumptions!$B$6+Assumptions!$B$7-Assumptions!$B$8)/Assumptions!$B$9)*(1+Assumptions!$B$21)^(ROW(INDIRECT("1:10"))-1)/(1+Assumptions!$B$28)^ROW(INDIRECT("1:10")))-(Assumptions!$B$5+Assumptions!$B$6+Assumptions!$B$7)+Assumptions!$B$8/(1+Assumptions!$B$28)^10</f>
        <v>-1947110.083</v>
      </c>
      <c r="C19" s="23">
        <f t="array" ref="C19">SUMPRODUCT(((0.8*Assumptions!$B$13*105-0.8*Assumptions!$B$13*Assumptions!$B$17-Assumptions!$B$18-Assumptions!$B$19-(Assumptions!$B$5+Assumptions!$B$6+Assumptions!$B$7-Assumptions!$B$8)/Assumptions!$B$9)*(1-Assumptions!$B$27)+(Assumptions!$B$5+Assumptions!$B$6+Assumptions!$B$7-Assumptions!$B$8)/Assumptions!$B$9)*(1+Assumptions!$B$21)^(ROW(INDIRECT("1:10"))-1)/(1+Assumptions!$B$28)^ROW(INDIRECT("1:10")))-(Assumptions!$B$5+Assumptions!$B$6+Assumptions!$B$7)+Assumptions!$B$8/(1+Assumptions!$B$28)^10</f>
        <v>835520.5451</v>
      </c>
      <c r="D19" s="23">
        <f t="array" ref="D19">SUMPRODUCT(((0.8*Assumptions!$B$13*120-0.8*Assumptions!$B$13*Assumptions!$B$17-Assumptions!$B$18-Assumptions!$B$19-(Assumptions!$B$5+Assumptions!$B$6+Assumptions!$B$7-Assumptions!$B$8)/Assumptions!$B$9)*(1-Assumptions!$B$27)+(Assumptions!$B$5+Assumptions!$B$6+Assumptions!$B$7-Assumptions!$B$8)/Assumptions!$B$9)*(1+Assumptions!$B$21)^(ROW(INDIRECT("1:10"))-1)/(1+Assumptions!$B$28)^ROW(INDIRECT("1:10")))-(Assumptions!$B$5+Assumptions!$B$6+Assumptions!$B$7)+Assumptions!$B$8/(1+Assumptions!$B$28)^10</f>
        <v>3618151.173</v>
      </c>
      <c r="E19" s="23">
        <f t="array" ref="E19">SUMPRODUCT(((0.8*Assumptions!$B$13*135-0.8*Assumptions!$B$13*Assumptions!$B$17-Assumptions!$B$18-Assumptions!$B$19-(Assumptions!$B$5+Assumptions!$B$6+Assumptions!$B$7-Assumptions!$B$8)/Assumptions!$B$9)*(1-Assumptions!$B$27)+(Assumptions!$B$5+Assumptions!$B$6+Assumptions!$B$7-Assumptions!$B$8)/Assumptions!$B$9)*(1+Assumptions!$B$21)^(ROW(INDIRECT("1:10"))-1)/(1+Assumptions!$B$28)^ROW(INDIRECT("1:10")))-(Assumptions!$B$5+Assumptions!$B$6+Assumptions!$B$7)+Assumptions!$B$8/(1+Assumptions!$B$28)^10</f>
        <v>6400781.801</v>
      </c>
    </row>
    <row r="20">
      <c r="A20" s="30" t="s">
        <v>110</v>
      </c>
      <c r="B20" s="23">
        <f t="array" ref="B20">SUMPRODUCT(((0.88*Assumptions!$B$13*90-0.88*Assumptions!$B$13*Assumptions!$B$17-Assumptions!$B$18-Assumptions!$B$19-(Assumptions!$B$5+Assumptions!$B$6+Assumptions!$B$7-Assumptions!$B$8)/Assumptions!$B$9)*(1-Assumptions!$B$27)+(Assumptions!$B$5+Assumptions!$B$6+Assumptions!$B$7-Assumptions!$B$8)/Assumptions!$B$9)*(1+Assumptions!$B$21)^(ROW(INDIRECT("1:10"))-1)/(1+Assumptions!$B$28)^ROW(INDIRECT("1:10")))-(Assumptions!$B$5+Assumptions!$B$6+Assumptions!$B$7)+Assumptions!$B$8/(1+Assumptions!$B$28)^10</f>
        <v>-1297829.603</v>
      </c>
      <c r="C20" s="23">
        <f t="array" ref="C20">SUMPRODUCT(((0.88*Assumptions!$B$13*105-0.88*Assumptions!$B$13*Assumptions!$B$17-Assumptions!$B$18-Assumptions!$B$19-(Assumptions!$B$5+Assumptions!$B$6+Assumptions!$B$7-Assumptions!$B$8)/Assumptions!$B$9)*(1-Assumptions!$B$27)+(Assumptions!$B$5+Assumptions!$B$6+Assumptions!$B$7-Assumptions!$B$8)/Assumptions!$B$9)*(1+Assumptions!$B$21)^(ROW(INDIRECT("1:10"))-1)/(1+Assumptions!$B$28)^ROW(INDIRECT("1:10")))-(Assumptions!$B$5+Assumptions!$B$6+Assumptions!$B$7)+Assumptions!$B$8/(1+Assumptions!$B$28)^10</f>
        <v>1763064.088</v>
      </c>
      <c r="D20" s="23">
        <f t="array" ref="D20">SUMPRODUCT(((0.88*Assumptions!$B$13*120-0.88*Assumptions!$B$13*Assumptions!$B$17-Assumptions!$B$18-Assumptions!$B$19-(Assumptions!$B$5+Assumptions!$B$6+Assumptions!$B$7-Assumptions!$B$8)/Assumptions!$B$9)*(1-Assumptions!$B$27)+(Assumptions!$B$5+Assumptions!$B$6+Assumptions!$B$7-Assumptions!$B$8)/Assumptions!$B$9)*(1+Assumptions!$B$21)^(ROW(INDIRECT("1:10"))-1)/(1+Assumptions!$B$28)^ROW(INDIRECT("1:10")))-(Assumptions!$B$5+Assumptions!$B$6+Assumptions!$B$7)+Assumptions!$B$8/(1+Assumptions!$B$28)^10</f>
        <v>4823957.778</v>
      </c>
      <c r="E20" s="23">
        <f t="array" ref="E20">SUMPRODUCT(((0.88*Assumptions!$B$13*135-0.88*Assumptions!$B$13*Assumptions!$B$17-Assumptions!$B$18-Assumptions!$B$19-(Assumptions!$B$5+Assumptions!$B$6+Assumptions!$B$7-Assumptions!$B$8)/Assumptions!$B$9)*(1-Assumptions!$B$27)+(Assumptions!$B$5+Assumptions!$B$6+Assumptions!$B$7-Assumptions!$B$8)/Assumptions!$B$9)*(1+Assumptions!$B$21)^(ROW(INDIRECT("1:10"))-1)/(1+Assumptions!$B$28)^ROW(INDIRECT("1:10")))-(Assumptions!$B$5+Assumptions!$B$6+Assumptions!$B$7)+Assumptions!$B$8/(1+Assumptions!$B$28)^10</f>
        <v>7884851.469</v>
      </c>
    </row>
    <row r="21" ht="15.75" customHeight="1">
      <c r="A21" s="30" t="s">
        <v>111</v>
      </c>
      <c r="B21" s="23">
        <f t="array" ref="B21">SUMPRODUCT(((0.95*Assumptions!$B$13*90-0.95*Assumptions!$B$13*Assumptions!$B$17-Assumptions!$B$18-Assumptions!$B$19-(Assumptions!$B$5+Assumptions!$B$6+Assumptions!$B$7-Assumptions!$B$8)/Assumptions!$B$9)*(1-Assumptions!$B$27)+(Assumptions!$B$5+Assumptions!$B$6+Assumptions!$B$7-Assumptions!$B$8)/Assumptions!$B$9)*(1+Assumptions!$B$21)^(ROW(INDIRECT("1:10"))-1)/(1+Assumptions!$B$28)^ROW(INDIRECT("1:10")))-(Assumptions!$B$5+Assumptions!$B$6+Assumptions!$B$7)+Assumptions!$B$8/(1+Assumptions!$B$28)^10</f>
        <v>-729709.1832</v>
      </c>
      <c r="C21" s="23">
        <f t="array" ref="C21">SUMPRODUCT(((0.95*Assumptions!$B$13*105-0.95*Assumptions!$B$13*Assumptions!$B$17-Assumptions!$B$18-Assumptions!$B$19-(Assumptions!$B$5+Assumptions!$B$6+Assumptions!$B$7-Assumptions!$B$8)/Assumptions!$B$9)*(1-Assumptions!$B$27)+(Assumptions!$B$5+Assumptions!$B$6+Assumptions!$B$7-Assumptions!$B$8)/Assumptions!$B$9)*(1+Assumptions!$B$21)^(ROW(INDIRECT("1:10"))-1)/(1+Assumptions!$B$28)^ROW(INDIRECT("1:10")))-(Assumptions!$B$5+Assumptions!$B$6+Assumptions!$B$7)+Assumptions!$B$8/(1+Assumptions!$B$28)^10</f>
        <v>2574664.688</v>
      </c>
      <c r="D21" s="23">
        <f t="array" ref="D21">SUMPRODUCT(((0.95*Assumptions!$B$13*120-0.95*Assumptions!$B$13*Assumptions!$B$17-Assumptions!$B$18-Assumptions!$B$19-(Assumptions!$B$5+Assumptions!$B$6+Assumptions!$B$7-Assumptions!$B$8)/Assumptions!$B$9)*(1-Assumptions!$B$27)+(Assumptions!$B$5+Assumptions!$B$6+Assumptions!$B$7-Assumptions!$B$8)/Assumptions!$B$9)*(1+Assumptions!$B$21)^(ROW(INDIRECT("1:10"))-1)/(1+Assumptions!$B$28)^ROW(INDIRECT("1:10")))-(Assumptions!$B$5+Assumptions!$B$6+Assumptions!$B$7)+Assumptions!$B$8/(1+Assumptions!$B$28)^10</f>
        <v>5879038.558</v>
      </c>
      <c r="E21" s="23">
        <f t="array" ref="E21">SUMPRODUCT(((0.95*Assumptions!$B$13*135-0.95*Assumptions!$B$13*Assumptions!$B$17-Assumptions!$B$18-Assumptions!$B$19-(Assumptions!$B$5+Assumptions!$B$6+Assumptions!$B$7-Assumptions!$B$8)/Assumptions!$B$9)*(1-Assumptions!$B$27)+(Assumptions!$B$5+Assumptions!$B$6+Assumptions!$B$7-Assumptions!$B$8)/Assumptions!$B$9)*(1+Assumptions!$B$21)^(ROW(INDIRECT("1:10"))-1)/(1+Assumptions!$B$28)^ROW(INDIRECT("1:10")))-(Assumptions!$B$5+Assumptions!$B$6+Assumptions!$B$7)+Assumptions!$B$8/(1+Assumptions!$B$28)^10</f>
        <v>9183412.429</v>
      </c>
    </row>
    <row r="22" ht="15.75" customHeight="1">
      <c r="A22" s="7"/>
      <c r="B22" s="7"/>
      <c r="C22" s="7"/>
      <c r="D22" s="7"/>
      <c r="E22" s="7"/>
    </row>
    <row r="23" ht="15.75" customHeight="1">
      <c r="A23" s="7"/>
      <c r="B23" s="7"/>
      <c r="C23" s="7"/>
      <c r="D23" s="7"/>
      <c r="E23" s="7"/>
    </row>
    <row r="24" ht="15.75" customHeight="1">
      <c r="A24" s="8" t="s">
        <v>112</v>
      </c>
      <c r="B24" s="2"/>
      <c r="C24" s="2"/>
      <c r="D24" s="3"/>
      <c r="E24" s="7"/>
    </row>
    <row r="25" ht="15.75" customHeight="1">
      <c r="A25" s="24" t="s">
        <v>113</v>
      </c>
      <c r="B25" s="31" t="str">
        <f>IF(B8&gt;0,IF(B9&gt;Assumptions!B28,"PROCEED WITH INVESTMENT","REVIEW — IRR BELOW HURDLE"),"DO NOT INVEST — NEGATIVE NPV")</f>
        <v>PROCEED WITH INVESTMENT</v>
      </c>
      <c r="C25" s="2"/>
      <c r="D25" s="3"/>
      <c r="E25" s="7"/>
    </row>
    <row r="26" ht="15.75" customHeight="1">
      <c r="A26" s="9" t="s">
        <v>114</v>
      </c>
      <c r="B26" s="32" t="str">
        <f>IF(B8&gt;0,"Project creates value above the cost of capital.","Project destroys value. Revisit assumptions.")</f>
        <v>Project creates value above the cost of capital.</v>
      </c>
      <c r="C26" s="2"/>
      <c r="D26" s="3"/>
      <c r="E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1"/>
    <mergeCell ref="A3:D3"/>
    <mergeCell ref="A15:D15"/>
    <mergeCell ref="A24:D24"/>
    <mergeCell ref="B25:D25"/>
    <mergeCell ref="B26:D2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4" width="20.0"/>
    <col customWidth="1" min="5" max="26" width="8.71"/>
  </cols>
  <sheetData>
    <row r="1" ht="30.0" customHeight="1">
      <c r="A1" s="1" t="s">
        <v>115</v>
      </c>
      <c r="B1" s="2"/>
      <c r="C1" s="2"/>
      <c r="D1" s="3"/>
    </row>
    <row r="2">
      <c r="A2" s="7"/>
      <c r="B2" s="7"/>
      <c r="C2" s="7"/>
      <c r="D2" s="7"/>
    </row>
    <row r="3">
      <c r="A3" s="8" t="s">
        <v>116</v>
      </c>
      <c r="B3" s="2"/>
      <c r="C3" s="2"/>
      <c r="D3" s="3"/>
    </row>
    <row r="4">
      <c r="A4" s="17" t="s">
        <v>33</v>
      </c>
      <c r="B4" s="18" t="s">
        <v>35</v>
      </c>
      <c r="C4" s="18" t="s">
        <v>30</v>
      </c>
      <c r="D4" s="18" t="s">
        <v>34</v>
      </c>
    </row>
    <row r="5">
      <c r="A5" s="9" t="s">
        <v>117</v>
      </c>
      <c r="B5" s="28">
        <f>Assumptions!B14-0.1</f>
        <v>0.7</v>
      </c>
      <c r="C5" s="28">
        <f>Assumptions!B14</f>
        <v>0.8</v>
      </c>
      <c r="D5" s="28">
        <f>Assumptions!B14+0.05</f>
        <v>0.85</v>
      </c>
    </row>
    <row r="6">
      <c r="A6" s="9" t="s">
        <v>60</v>
      </c>
      <c r="B6" s="23">
        <f>Assumptions!B16-15</f>
        <v>105</v>
      </c>
      <c r="C6" s="23">
        <f>Assumptions!B16</f>
        <v>120</v>
      </c>
      <c r="D6" s="23">
        <f>Assumptions!B16+10</f>
        <v>130</v>
      </c>
    </row>
    <row r="7">
      <c r="A7" s="9" t="s">
        <v>118</v>
      </c>
      <c r="B7" s="28">
        <f>Assumptions!B21-0.02</f>
        <v>0</v>
      </c>
      <c r="C7" s="28">
        <f>Assumptions!B21</f>
        <v>0.02</v>
      </c>
      <c r="D7" s="28">
        <f>Assumptions!B21+0.02</f>
        <v>0.04</v>
      </c>
    </row>
    <row r="8">
      <c r="A8" s="9" t="s">
        <v>17</v>
      </c>
      <c r="B8" s="23">
        <f>Assumptions!B17</f>
        <v>55</v>
      </c>
      <c r="C8" s="23">
        <f>Assumptions!B17</f>
        <v>55</v>
      </c>
      <c r="D8" s="23">
        <f>Assumptions!B17</f>
        <v>55</v>
      </c>
    </row>
    <row r="9">
      <c r="A9" s="9" t="s">
        <v>119</v>
      </c>
      <c r="B9" s="28">
        <f>Assumptions!B28</f>
        <v>0.1</v>
      </c>
      <c r="C9" s="28">
        <f>Assumptions!B28</f>
        <v>0.1</v>
      </c>
      <c r="D9" s="28">
        <f>Assumptions!B28</f>
        <v>0.1</v>
      </c>
    </row>
    <row r="10">
      <c r="A10" s="7"/>
      <c r="B10" s="7"/>
      <c r="C10" s="7"/>
      <c r="D10" s="7"/>
    </row>
    <row r="11">
      <c r="A11" s="8" t="s">
        <v>120</v>
      </c>
      <c r="B11" s="2"/>
      <c r="C11" s="2"/>
      <c r="D11" s="3"/>
    </row>
    <row r="12">
      <c r="A12" s="17" t="s">
        <v>83</v>
      </c>
      <c r="B12" s="18" t="s">
        <v>35</v>
      </c>
      <c r="C12" s="18" t="s">
        <v>30</v>
      </c>
      <c r="D12" s="18" t="s">
        <v>34</v>
      </c>
    </row>
    <row r="13">
      <c r="A13" s="9" t="s">
        <v>121</v>
      </c>
      <c r="B13" s="23">
        <f t="array" ref="B13">SUMPRODUCT(((B5*Assumptions!$B$13*B6-B5*Assumptions!$B$13*Assumptions!$B$17-Assumptions!$B$18-Assumptions!$B$19-(Assumptions!$B$5+Assumptions!$B$6+Assumptions!$B$7-Assumptions!$B$8)/Assumptions!$B$9)*(1-Assumptions!$B$27)+(Assumptions!$B$5+Assumptions!$B$6+Assumptions!$B$7-Assumptions!$B$8)/Assumptions!$B$9)*(1+B7)^(ROW(INDIRECT("1:10"))-1)/(1+Assumptions!$B$28)^ROW(INDIRECT("1:10")))-(Assumptions!$B$5+Assumptions!$B$6+Assumptions!$B$7)+Assumptions!$B$8/(1+Assumptions!$B$28)^10</f>
        <v>-672808.7783</v>
      </c>
      <c r="C13" s="23">
        <f t="array" ref="C13">SUMPRODUCT(((C5*Assumptions!$B$13*C6-C5*Assumptions!$B$13*Assumptions!$B$17-Assumptions!$B$18-Assumptions!$B$19-(Assumptions!$B$5+Assumptions!$B$6+Assumptions!$B$7-Assumptions!$B$8)/Assumptions!$B$9)*(1-Assumptions!$B$27)+(Assumptions!$B$5+Assumptions!$B$6+Assumptions!$B$7-Assumptions!$B$8)/Assumptions!$B$9)*(1+C7)^(ROW(INDIRECT("1:10"))-1)/(1+Assumptions!$B$28)^ROW(INDIRECT("1:10")))-(Assumptions!$B$5+Assumptions!$B$6+Assumptions!$B$7)+Assumptions!$B$8/(1+Assumptions!$B$28)^10</f>
        <v>3618151.173</v>
      </c>
      <c r="D13" s="23">
        <f t="array" ref="D13">SUMPRODUCT(((D5*Assumptions!$B$13*D6-D5*Assumptions!$B$13*Assumptions!$B$17-Assumptions!$B$18-Assumptions!$B$19-(Assumptions!$B$5+Assumptions!$B$6+Assumptions!$B$7-Assumptions!$B$8)/Assumptions!$B$9)*(1-Assumptions!$B$27)+(Assumptions!$B$5+Assumptions!$B$6+Assumptions!$B$7-Assumptions!$B$8)/Assumptions!$B$9)*(1+D7)^(ROW(INDIRECT("1:10"))-1)/(1+Assumptions!$B$28)^ROW(INDIRECT("1:10")))-(Assumptions!$B$5+Assumptions!$B$6+Assumptions!$B$7)+Assumptions!$B$8/(1+Assumptions!$B$28)^10</f>
        <v>7260282.139</v>
      </c>
    </row>
    <row r="14">
      <c r="A14" s="9" t="s">
        <v>122</v>
      </c>
      <c r="B14" s="28">
        <f>(B13+(Assumptions!$B$5+Assumptions!$B$6+Assumptions!$B$7))/(Assumptions!$B$5+Assumptions!$B$6+Assumptions!$B$7)/Assumptions!$B$9</f>
        <v>0.08736509336</v>
      </c>
      <c r="C14" s="28">
        <f>(C13+(Assumptions!$B$5+Assumptions!$B$6+Assumptions!$B$7))/(Assumptions!$B$5+Assumptions!$B$6+Assumptions!$B$7)/Assumptions!$B$9</f>
        <v>0.1679465009</v>
      </c>
      <c r="D14" s="28">
        <f>(D13+(Assumptions!$B$5+Assumptions!$B$6+Assumptions!$B$7))/(Assumptions!$B$5+Assumptions!$B$6+Assumptions!$B$7)/Assumptions!$B$9</f>
        <v>0.2363433266</v>
      </c>
    </row>
    <row r="15">
      <c r="A15" s="9" t="s">
        <v>123</v>
      </c>
      <c r="B15" s="23">
        <f>B5*Assumptions!$B$13*B6</f>
        <v>3675000</v>
      </c>
      <c r="C15" s="23">
        <f>C5*Assumptions!$B$13*C6</f>
        <v>4800000</v>
      </c>
      <c r="D15" s="23">
        <f>D5*Assumptions!$B$13*D6</f>
        <v>5525000</v>
      </c>
    </row>
    <row r="16">
      <c r="A16" s="9" t="s">
        <v>124</v>
      </c>
      <c r="B16" s="23">
        <f>B5*Assumptions!$B$13*(B6-Assumptions!$B$17)-Assumptions!$B$18-Assumptions!$B$19</f>
        <v>830000</v>
      </c>
      <c r="C16" s="23">
        <f>C5*Assumptions!$B$13*(C6-Assumptions!$B$17)-Assumptions!$B$18-Assumptions!$B$19</f>
        <v>1680000</v>
      </c>
      <c r="D16" s="23">
        <f>D5*Assumptions!$B$13*(D6-Assumptions!$B$17)-Assumptions!$B$18-Assumptions!$B$19</f>
        <v>2267500</v>
      </c>
    </row>
    <row r="17">
      <c r="A17" s="9" t="s">
        <v>125</v>
      </c>
      <c r="B17" s="28">
        <f t="shared" ref="B17:D17" si="1">B16/B15</f>
        <v>0.2258503401</v>
      </c>
      <c r="C17" s="28">
        <f t="shared" si="1"/>
        <v>0.35</v>
      </c>
      <c r="D17" s="28">
        <f t="shared" si="1"/>
        <v>0.4104072398</v>
      </c>
    </row>
    <row r="18">
      <c r="A18" s="7"/>
      <c r="B18" s="7"/>
      <c r="C18" s="7"/>
      <c r="D18" s="7"/>
    </row>
    <row r="19">
      <c r="A19" s="24" t="s">
        <v>126</v>
      </c>
      <c r="B19" s="33" t="str">
        <f t="shared" ref="B19:D19" si="2">IF(B13&gt;0,"✔ INVEST","✘ REJECT")</f>
        <v>✘ REJECT</v>
      </c>
      <c r="C19" s="33" t="str">
        <f t="shared" si="2"/>
        <v>✔ INVEST</v>
      </c>
      <c r="D19" s="33" t="str">
        <f t="shared" si="2"/>
        <v>✔ INVEST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3:D3"/>
    <mergeCell ref="A11:D11"/>
  </mergeCells>
  <printOptions/>
  <pageMargins bottom="1.0" footer="0.0" header="0.0" left="0.75" right="0.75" top="1.0"/>
  <pageSetup paperSize="9" orientation="portrait"/>
  <drawing r:id="rId1"/>
</worksheet>
</file>